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ars" sheetId="1" state="visible" r:id="rId3"/>
    <sheet name="Parts" sheetId="2" state="visible" r:id="rId4"/>
    <sheet name="Hardware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3" authorId="0">
      <text>
        <r>
          <rPr>
            <sz val="10"/>
            <rFont val="Arial"/>
            <family val="2"/>
          </rPr>
          <t xml:space="preserve">Positions from the generator layout (config.py: TURNTABLE_CENTRE, SIDE_GEAR_DX, CRANK_DX). Origin = top-left of the lid panel.</t>
        </r>
      </text>
    </comment>
  </commentList>
</comments>
</file>

<file path=xl/sharedStrings.xml><?xml version="1.0" encoding="utf-8"?>
<sst xmlns="http://schemas.openxmlformats.org/spreadsheetml/2006/main" count="183" uniqueCount="146">
  <si>
    <t xml:space="preserve">Cycloid drawer – gears on the lid</t>
  </si>
  <si>
    <t xml:space="preserve">Blue = input you can change. Black = formula. Centre positions come from the generator (config.py).</t>
  </si>
  <si>
    <t xml:space="preserve">Module (mm)</t>
  </si>
  <si>
    <t xml:space="preserve">Material thickness (mm)</t>
  </si>
  <si>
    <t xml:space="preserve">Backlash per tooth (mm)</t>
  </si>
  <si>
    <t xml:space="preserve">Lid width (mm)</t>
  </si>
  <si>
    <t xml:space="preserve">Lid depth (mm)</t>
  </si>
  <si>
    <t xml:space="preserve">Lid edge margin (mm)</t>
  </si>
  <si>
    <t xml:space="preserve">M10 hole Ø (mm)</t>
  </si>
  <si>
    <t xml:space="preserve">Gear</t>
  </si>
  <si>
    <t xml:space="preserve">Teeth</t>
  </si>
  <si>
    <t xml:space="preserve">Pitch Ø (mm)</t>
  </si>
  <si>
    <t xml:space="preserve">Tip Ø (mm)</t>
  </si>
  <si>
    <t xml:space="preserve">Root Ø (mm)</t>
  </si>
  <si>
    <t xml:space="preserve">Centre X on lid (mm)</t>
  </si>
  <si>
    <t xml:space="preserve">Centre Y on lid (mm)</t>
  </si>
  <si>
    <t xml:space="preserve">Actual distance to turntable (mm)</t>
  </si>
  <si>
    <t xml:space="preserve">Required centre distance (mm)</t>
  </si>
  <si>
    <t xml:space="preserve">Mesh check</t>
  </si>
  <si>
    <t xml:space="preserve">Turntable turns per gear turn</t>
  </si>
  <si>
    <t xml:space="preserve">Min. clearance to lid edge (mm)</t>
  </si>
  <si>
    <t xml:space="preserve">Edge check</t>
  </si>
  <si>
    <t xml:space="preserve">Features</t>
  </si>
  <si>
    <t xml:space="preserve">Turntable</t>
  </si>
  <si>
    <t xml:space="preserve">–</t>
  </si>
  <si>
    <t xml:space="preserve">Ø10.5 axle hole; engraved paper guides Ø210 circle + 200×200 square</t>
  </si>
  <si>
    <t xml:space="preserve">Left (top)</t>
  </si>
  <si>
    <t xml:space="preserve">Ø10.5 axle + 2 opposite radial M10 slots, from r=20 mm outward (adjustable pin)</t>
  </si>
  <si>
    <t xml:space="preserve">Right (top)</t>
  </si>
  <si>
    <t xml:space="preserve">Crank</t>
  </si>
  <si>
    <t xml:space="preserve">Ø10.5 axle + Ø6.5 hole for M6 handle bolt at r=17 mm</t>
  </si>
  <si>
    <t xml:space="preserve">Non-meshing gears must stay ≥ 3 mm apart (tip to tip):</t>
  </si>
  <si>
    <t xml:space="preserve">Pair</t>
  </si>
  <si>
    <t xml:space="preserve">Distance between centres (mm)</t>
  </si>
  <si>
    <t xml:space="preserve">Tip-to-tip gap (mm)</t>
  </si>
  <si>
    <t xml:space="preserve">Check</t>
  </si>
  <si>
    <t xml:space="preserve">Left ↔ Right</t>
  </si>
  <si>
    <t xml:space="preserve">Left ↔ Crank</t>
  </si>
  <si>
    <t xml:space="preserve">Right ↔ Crank</t>
  </si>
  <si>
    <t xml:space="preserve">Parts list – laser-cut files (folder: concept\lasersnij)</t>
  </si>
  <si>
    <t xml:space="preserve">File</t>
  </si>
  <si>
    <t xml:space="preserve">Part</t>
  </si>
  <si>
    <t xml:space="preserve">Qty</t>
  </si>
  <si>
    <t xml:space="preserve">Material</t>
  </si>
  <si>
    <t xml:space="preserve">Size (mm)</t>
  </si>
  <si>
    <t xml:space="preserve">Notes</t>
  </si>
  <si>
    <t xml:space="preserve">1_doos_met_asgaten.svg</t>
  </si>
  <si>
    <t xml:space="preserve">Electronics section: bottom</t>
  </si>
  <si>
    <t xml:space="preserve">4 mm MDF/plywood</t>
  </si>
  <si>
    <t xml:space="preserve">358 × 408</t>
  </si>
  <si>
    <t xml:space="preserve">Finger joints on all 4 edges</t>
  </si>
  <si>
    <t xml:space="preserve">Electronics section: walls (front/back/left/right)</t>
  </si>
  <si>
    <t xml:space="preserve">358 / 408 × 50</t>
  </si>
  <si>
    <t xml:space="preserve">Open top edge</t>
  </si>
  <si>
    <t xml:space="preserve">Collar strips (front/back/left/right)</t>
  </si>
  <si>
    <t xml:space="preserve">349.4 / 399.4 × 20</t>
  </si>
  <si>
    <t xml:space="preserve">Glue inside the electronics section, 10 mm sticking out; 0.3 mm play per side to the motor section</t>
  </si>
  <si>
    <t xml:space="preserve">Motor section: walls (front/back/left/right)</t>
  </si>
  <si>
    <t xml:space="preserve">358 / 408 × 78</t>
  </si>
  <si>
    <t xml:space="preserve">Slots 10 mm above the bottom edge for the divider; 10 mm skirt slides over the collar</t>
  </si>
  <si>
    <t xml:space="preserve">Motor section: divider (floor)</t>
  </si>
  <si>
    <t xml:space="preserve">Ø30 cable hole in the middle; rests on the collar</t>
  </si>
  <si>
    <t xml:space="preserve">Motor section: lid</t>
  </si>
  <si>
    <t xml:space="preserve">4 × Ø10.5 axle holes</t>
  </si>
  <si>
    <t xml:space="preserve">2_tandwielen.svg</t>
  </si>
  <si>
    <t xml:space="preserve">Turntable gear z100</t>
  </si>
  <si>
    <t xml:space="preserve">Ø306 tip</t>
  </si>
  <si>
    <t xml:space="preserve">Carries the paper</t>
  </si>
  <si>
    <t xml:space="preserve">Left gear z32</t>
  </si>
  <si>
    <t xml:space="preserve">Ø102 tip</t>
  </si>
  <si>
    <t xml:space="preserve">Radial M10 slots r=20–34 mm</t>
  </si>
  <si>
    <t xml:space="preserve">Right gear z30</t>
  </si>
  <si>
    <t xml:space="preserve">Ø96 tip</t>
  </si>
  <si>
    <t xml:space="preserve">Radial M10 slots r=20–31 mm</t>
  </si>
  <si>
    <t xml:space="preserve">Crank gear z20</t>
  </si>
  <si>
    <t xml:space="preserve">Ø66 tip</t>
  </si>
  <si>
    <t xml:space="preserve">Ø6.5 hole for M6 handle at r=17 (M10 would hit the axle nut)</t>
  </si>
  <si>
    <t xml:space="preserve">3_armen.svg</t>
  </si>
  <si>
    <t xml:space="preserve">Cross arm (dwarsarm)</t>
  </si>
  <si>
    <t xml:space="preserve">330 × 26</t>
  </si>
  <si>
    <t xml:space="preserve">Hole at left end, 5 attachment holes, slot 165–317 mm for the right pin</t>
  </si>
  <si>
    <t xml:space="preserve">Pen arm A</t>
  </si>
  <si>
    <t xml:space="preserve">260 × 26</t>
  </si>
  <si>
    <t xml:space="preserve">11 × Ø10.5 holes every 20 mm, Ø12 pen hole at 245 mm</t>
  </si>
  <si>
    <t xml:space="preserve">Pen arm B</t>
  </si>
  <si>
    <t xml:space="preserve">Same as pen arm A</t>
  </si>
  <si>
    <t xml:space="preserve">montage_bovenaanzicht.svg / .png</t>
  </si>
  <si>
    <t xml:space="preserve">Top-view assembly preview</t>
  </si>
  <si>
    <t xml:space="preserve">Not for cutting</t>
  </si>
  <si>
    <t xml:space="preserve">generator/</t>
  </si>
  <si>
    <t xml:space="preserve">Python generator</t>
  </si>
  <si>
    <t xml:space="preserve">Regenerates all files; change values in config.py</t>
  </si>
  <si>
    <t xml:space="preserve">Total laser-cut parts</t>
  </si>
  <si>
    <t xml:space="preserve">Hardware &amp; assembly</t>
  </si>
  <si>
    <t xml:space="preserve">Quantities from the Fusion 360 assembly model – blue cells can be changed.</t>
  </si>
  <si>
    <t xml:space="preserve">Item</t>
  </si>
  <si>
    <t xml:space="preserve">Use</t>
  </si>
  <si>
    <t xml:space="preserve">M10 × 16 bolt</t>
  </si>
  <si>
    <t xml:space="preserve">Turntable axle (must stay below the paper) + arm joint</t>
  </si>
  <si>
    <t xml:space="preserve">M10 × 30 bolt</t>
  </si>
  <si>
    <t xml:space="preserve">Axles of left, right and crank gear + left crank pin</t>
  </si>
  <si>
    <t xml:space="preserve">M10 × 35 bolt</t>
  </si>
  <si>
    <t xml:space="preserve">Right crank pin</t>
  </si>
  <si>
    <t xml:space="preserve">M6 × 60 bolt</t>
  </si>
  <si>
    <t xml:space="preserve">Crank handle</t>
  </si>
  <si>
    <t xml:space="preserve">M10 nut</t>
  </si>
  <si>
    <t xml:space="preserve">4 on the lid, 3 lock nuts on the gears, 2 pin nuts, 2 on the arms, 1 on the joint</t>
  </si>
  <si>
    <t xml:space="preserve">M6 nut</t>
  </si>
  <si>
    <t xml:space="preserve">Handle: one on the gear, one on top of the grip</t>
  </si>
  <si>
    <t xml:space="preserve">PTFE washer M10 (Ø22 × 1.5)</t>
  </si>
  <si>
    <t xml:space="preserve">Under every gear, and above the 3 small gears</t>
  </si>
  <si>
    <t xml:space="preserve">Spacer M10, 5.5 mm</t>
  </si>
  <si>
    <t xml:space="preserve">Left pin, between pin nut and arm</t>
  </si>
  <si>
    <t xml:space="preserve">Spacer M10, 9.5 mm</t>
  </si>
  <si>
    <t xml:space="preserve">Right pin, between pin nut and arm</t>
  </si>
  <si>
    <t xml:space="preserve">Handle grip Ø20 × 40, hole 6.5</t>
  </si>
  <si>
    <t xml:space="preserve">Sleeve on the M6 handle bolt</t>
  </si>
  <si>
    <t xml:space="preserve">Axle stack, small gears (bottom → top)</t>
  </si>
  <si>
    <t xml:space="preserve">1. Bolt head under the lid (bolt points up)</t>
  </si>
  <si>
    <t xml:space="preserve">2. Lid (4 mm)</t>
  </si>
  <si>
    <t xml:space="preserve">3. Nut on top of the lid</t>
  </si>
  <si>
    <t xml:space="preserve">4. PTFE washer</t>
  </si>
  <si>
    <t xml:space="preserve">5. Gear (4 mm)</t>
  </si>
  <si>
    <t xml:space="preserve">6. PTFE washer</t>
  </si>
  <si>
    <t xml:space="preserve">7. Lock nut (snug, not tight)</t>
  </si>
  <si>
    <t xml:space="preserve">Turntable: same, but without the top washer and lock nut – it rests on its washer so nothing sticks up through the paper.</t>
  </si>
  <si>
    <t xml:space="preserve">Topic</t>
  </si>
  <si>
    <t xml:space="preserve">Detail</t>
  </si>
  <si>
    <t xml:space="preserve">Box</t>
  </si>
  <si>
    <t xml:space="preserve">Two stacked sections, 358 × 408 × 128 mm. Bottom: electronics, 56 mm clear inside. Top: motors, 60 mm clear between divider and lid (fits NEMA17 up to 48 mm long). A collar glued in the bottom section slides 10 mm into the top section.</t>
  </si>
  <si>
    <t xml:space="preserve">Paper</t>
  </si>
  <si>
    <t xml:space="preserve">Rotating full A4 needs Ø364 mm and does not fit the 358 mm box. Use a Ø210 circle or 200 × 200 square cut from A4 (A4 is 210 wide).</t>
  </si>
  <si>
    <t xml:space="preserve">Layer colours</t>
  </si>
  <si>
    <t xml:space="preserve">Red = cut, blue = engrave, grey = text (same as the original box file).</t>
  </si>
  <si>
    <t xml:space="preserve">Gear standard</t>
  </si>
  <si>
    <t xml:space="preserve">Module 3, 20° pressure angle, involute teeth, 4 mm sheet.</t>
  </si>
  <si>
    <t xml:space="preserve">Backlash</t>
  </si>
  <si>
    <t xml:space="preserve">0.15 mm removed per tooth for laser kerf. Test-cut a small pair first; adjust 'backlash' in the generator if too tight/loose.</t>
  </si>
  <si>
    <t xml:space="preserve">Arm setup – sketch</t>
  </si>
  <si>
    <t xml:space="preserve">Cross arm: hole on the left pin, slot over the right pin; pen arm attached to it.</t>
  </si>
  <si>
    <t xml:space="preserve">Arm setup – classic (most reliable)</t>
  </si>
  <si>
    <t xml:space="preserve">One pen arm on each gear pin, joined with one M10 bolt where they cross; pen in the Ø12 hole beyond the joint. Different holes = different patterns.</t>
  </si>
  <si>
    <t xml:space="preserve">Fusion 360</t>
  </si>
  <si>
    <t xml:space="preserve">Script in concept\fusion\CycloidDrawer builds the full 3D assembly.</t>
  </si>
  <si>
    <t xml:space="preserve">Status</t>
  </si>
  <si>
    <t xml:space="preserve">Files generated and checked in a preview and a dry-run of the Fusion script; not yet test-cut.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</si>
</sst>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2" min="11" style="0" width="15"/>
    <col collapsed="false" customWidth="true" hidden="false" outlineLevel="0" max="13" min="13" style="0" width="12"/>
    <col collapsed="false" customWidth="true" hidden="false" outlineLevel="0" max="14" min="1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</v>
      </c>
    </row>
    <row r="5" customFormat="false" ht="15" hidden="false" customHeight="false" outlineLevel="0" collapsed="false">
      <c r="A5" s="3" t="s">
        <v>3</v>
      </c>
      <c r="B5" s="4" t="n">
        <v>4</v>
      </c>
    </row>
    <row r="6" customFormat="false" ht="15" hidden="false" customHeight="false" outlineLevel="0" collapsed="false">
      <c r="A6" s="3" t="s">
        <v>4</v>
      </c>
      <c r="B6" s="4" t="n">
        <v>0.15</v>
      </c>
    </row>
    <row r="7" customFormat="false" ht="15" hidden="false" customHeight="false" outlineLevel="0" collapsed="false">
      <c r="A7" s="3" t="s">
        <v>5</v>
      </c>
      <c r="B7" s="4" t="n">
        <v>358</v>
      </c>
    </row>
    <row r="8" customFormat="false" ht="15" hidden="false" customHeight="false" outlineLevel="0" collapsed="false">
      <c r="A8" s="3" t="s">
        <v>6</v>
      </c>
      <c r="B8" s="4" t="n">
        <v>408</v>
      </c>
    </row>
    <row r="9" customFormat="false" ht="15" hidden="false" customHeight="false" outlineLevel="0" collapsed="false">
      <c r="A9" s="3" t="s">
        <v>7</v>
      </c>
      <c r="B9" s="4" t="n">
        <v>4</v>
      </c>
    </row>
    <row r="10" customFormat="false" ht="15" hidden="false" customHeight="false" outlineLevel="0" collapsed="false">
      <c r="A10" s="3" t="s">
        <v>8</v>
      </c>
      <c r="B10" s="4" t="n">
        <v>10.5</v>
      </c>
    </row>
    <row r="12" customFormat="false" ht="45" hidden="false" customHeight="true" outlineLevel="0" collapsed="false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21</v>
      </c>
      <c r="N12" s="5" t="s">
        <v>22</v>
      </c>
    </row>
    <row r="13" customFormat="false" ht="15" hidden="false" customHeight="false" outlineLevel="0" collapsed="false">
      <c r="A13" s="6" t="s">
        <v>23</v>
      </c>
      <c r="B13" s="6" t="n">
        <v>100</v>
      </c>
      <c r="C13" s="7" t="n">
        <f aca="false">B13*$B$4</f>
        <v>300</v>
      </c>
      <c r="D13" s="7" t="n">
        <f aca="false">(B13+2)*$B$4</f>
        <v>306</v>
      </c>
      <c r="E13" s="7" t="n">
        <f aca="false">(B13-2.5)*$B$4</f>
        <v>292.5</v>
      </c>
      <c r="F13" s="7" t="n">
        <v>179</v>
      </c>
      <c r="G13" s="7" t="n">
        <v>240</v>
      </c>
      <c r="H13" s="7" t="s">
        <v>24</v>
      </c>
      <c r="I13" s="7" t="s">
        <v>24</v>
      </c>
      <c r="J13" s="6" t="s">
        <v>24</v>
      </c>
      <c r="K13" s="8" t="s">
        <v>24</v>
      </c>
      <c r="L13" s="7" t="n">
        <f aca="false">MIN(F13-D13/2,G13-D13/2,$B$7-F13-D13/2,$B$8-G13-D13/2)</f>
        <v>15</v>
      </c>
      <c r="M13" s="6" t="str">
        <f aca="false">IF(L13&gt;=$B$9,"OK","TOO CLOSE")</f>
        <v>OK</v>
      </c>
      <c r="N13" s="6" t="s">
        <v>25</v>
      </c>
    </row>
    <row r="14" customFormat="false" ht="15" hidden="false" customHeight="false" outlineLevel="0" collapsed="false">
      <c r="A14" s="6" t="s">
        <v>26</v>
      </c>
      <c r="B14" s="6" t="n">
        <v>32</v>
      </c>
      <c r="C14" s="7" t="n">
        <f aca="false">B14*$B$4</f>
        <v>96</v>
      </c>
      <c r="D14" s="7" t="n">
        <f aca="false">(B14+2)*$B$4</f>
        <v>102</v>
      </c>
      <c r="E14" s="7" t="n">
        <f aca="false">(B14-2.5)*$B$4</f>
        <v>88.5</v>
      </c>
      <c r="F14" s="7" t="n">
        <v>69</v>
      </c>
      <c r="G14" s="7" t="n">
        <v>75.4</v>
      </c>
      <c r="H14" s="7" t="n">
        <f aca="false">SQRT((F14-$F$13)^2+(G14-$G$13)^2)</f>
        <v>197.972624370139</v>
      </c>
      <c r="I14" s="7" t="n">
        <f aca="false">(C14+$C$13)/2</f>
        <v>198</v>
      </c>
      <c r="J14" s="6" t="str">
        <f aca="false">IF(ABS(H14-I14)&lt;0.2,"OK","CHECK")</f>
        <v>OK</v>
      </c>
      <c r="K14" s="8" t="n">
        <f aca="false">B14/$B$13</f>
        <v>0.32</v>
      </c>
      <c r="L14" s="7" t="n">
        <f aca="false">MIN(F14-D14/2,G14-D14/2,$B$7-F14-D14/2,$B$8-G14-D14/2)</f>
        <v>18</v>
      </c>
      <c r="M14" s="6" t="str">
        <f aca="false">IF(L14&gt;=$B$9,"OK","TOO CLOSE")</f>
        <v>OK</v>
      </c>
      <c r="N14" s="6" t="s">
        <v>27</v>
      </c>
    </row>
    <row r="15" customFormat="false" ht="15" hidden="false" customHeight="false" outlineLevel="0" collapsed="false">
      <c r="A15" s="6" t="s">
        <v>28</v>
      </c>
      <c r="B15" s="6" t="n">
        <v>30</v>
      </c>
      <c r="C15" s="7" t="n">
        <f aca="false">B15*$B$4</f>
        <v>90</v>
      </c>
      <c r="D15" s="7" t="n">
        <f aca="false">(B15+2)*$B$4</f>
        <v>96</v>
      </c>
      <c r="E15" s="7" t="n">
        <f aca="false">(B15-2.5)*$B$4</f>
        <v>82.5</v>
      </c>
      <c r="F15" s="7" t="n">
        <v>289</v>
      </c>
      <c r="G15" s="7" t="n">
        <v>79</v>
      </c>
      <c r="H15" s="7" t="n">
        <f aca="false">SQRT((F15-$F$13)^2+(G15-$G$13)^2)</f>
        <v>194.989743320001</v>
      </c>
      <c r="I15" s="7" t="n">
        <f aca="false">(C15+$C$13)/2</f>
        <v>195</v>
      </c>
      <c r="J15" s="6" t="str">
        <f aca="false">IF(ABS(H15-I15)&lt;0.2,"OK","CHECK")</f>
        <v>OK</v>
      </c>
      <c r="K15" s="8" t="n">
        <f aca="false">B15/$B$13</f>
        <v>0.3</v>
      </c>
      <c r="L15" s="7" t="n">
        <f aca="false">MIN(F15-D15/2,G15-D15/2,$B$7-F15-D15/2,$B$8-G15-D15/2)</f>
        <v>21</v>
      </c>
      <c r="M15" s="6" t="str">
        <f aca="false">IF(L15&gt;=$B$9,"OK","TOO CLOSE")</f>
        <v>OK</v>
      </c>
      <c r="N15" s="6" t="s">
        <v>27</v>
      </c>
    </row>
    <row r="16" customFormat="false" ht="15" hidden="false" customHeight="false" outlineLevel="0" collapsed="false">
      <c r="A16" s="6" t="s">
        <v>29</v>
      </c>
      <c r="B16" s="6" t="n">
        <v>20</v>
      </c>
      <c r="C16" s="7" t="n">
        <f aca="false">B16*$B$4</f>
        <v>60</v>
      </c>
      <c r="D16" s="7" t="n">
        <f aca="false">(B16+2)*$B$4</f>
        <v>66</v>
      </c>
      <c r="E16" s="7" t="n">
        <f aca="false">(B16-2.5)*$B$4</f>
        <v>52.5</v>
      </c>
      <c r="F16" s="7" t="n">
        <v>321</v>
      </c>
      <c r="G16" s="7" t="n">
        <v>350.6</v>
      </c>
      <c r="H16" s="7" t="n">
        <f aca="false">SQRT((F16-$F$13)^2+(G16-$G$13)^2)</f>
        <v>179.989888604888</v>
      </c>
      <c r="I16" s="7" t="n">
        <f aca="false">(C16+$C$13)/2</f>
        <v>180</v>
      </c>
      <c r="J16" s="6" t="str">
        <f aca="false">IF(ABS(H16-I16)&lt;0.2,"OK","CHECK")</f>
        <v>OK</v>
      </c>
      <c r="K16" s="8" t="n">
        <f aca="false">B16/$B$13</f>
        <v>0.2</v>
      </c>
      <c r="L16" s="7" t="n">
        <f aca="false">MIN(F16-D16/2,G16-D16/2,$B$7-F16-D16/2,$B$8-G16-D16/2)</f>
        <v>4</v>
      </c>
      <c r="M16" s="6" t="str">
        <f aca="false">IF(L16&gt;=$B$9,"OK","TOO CLOSE")</f>
        <v>OK</v>
      </c>
      <c r="N16" s="6" t="s">
        <v>30</v>
      </c>
    </row>
    <row r="18" customFormat="false" ht="15" hidden="false" customHeight="false" outlineLevel="0" collapsed="false">
      <c r="A18" s="9" t="s">
        <v>31</v>
      </c>
    </row>
    <row r="19" customFormat="false" ht="39.55" hidden="false" customHeight="false" outlineLevel="0" collapsed="false">
      <c r="A19" s="5" t="s">
        <v>32</v>
      </c>
      <c r="B19" s="5" t="s">
        <v>33</v>
      </c>
      <c r="C19" s="5" t="s">
        <v>34</v>
      </c>
      <c r="D19" s="5" t="s">
        <v>35</v>
      </c>
    </row>
    <row r="20" customFormat="false" ht="15" hidden="false" customHeight="false" outlineLevel="0" collapsed="false">
      <c r="A20" s="6" t="s">
        <v>36</v>
      </c>
      <c r="B20" s="7" t="n">
        <f aca="false">SQRT((F14-F15)^2+(G14-G15)^2)</f>
        <v>220.029452573968</v>
      </c>
      <c r="C20" s="7" t="n">
        <f aca="false">B20-(D14+D15)/2</f>
        <v>121.029452573968</v>
      </c>
      <c r="D20" s="6" t="str">
        <f aca="false">IF(C20&gt;=3,"OK","COLLISION")</f>
        <v>OK</v>
      </c>
    </row>
    <row r="21" customFormat="false" ht="15" hidden="false" customHeight="false" outlineLevel="0" collapsed="false">
      <c r="A21" s="6" t="s">
        <v>37</v>
      </c>
      <c r="B21" s="7" t="n">
        <f aca="false">SQRT((F14-F16)^2+(G14-G16)^2)</f>
        <v>373.147477547417</v>
      </c>
      <c r="C21" s="7" t="n">
        <f aca="false">B21-(D14+D16)/2</f>
        <v>289.147477547417</v>
      </c>
      <c r="D21" s="6" t="str">
        <f aca="false">IF(C21&gt;=3,"OK","COLLISION")</f>
        <v>OK</v>
      </c>
    </row>
    <row r="22" customFormat="false" ht="15" hidden="false" customHeight="false" outlineLevel="0" collapsed="false">
      <c r="A22" s="6" t="s">
        <v>38</v>
      </c>
      <c r="B22" s="7" t="n">
        <f aca="false">SQRT((F15-F16)^2+(G15-G16)^2)</f>
        <v>273.478628049798</v>
      </c>
      <c r="C22" s="7" t="n">
        <f aca="false">B22-(D15+D16)/2</f>
        <v>192.478628049798</v>
      </c>
      <c r="D22" s="6" t="str">
        <f aca="false">IF(C22&gt;=3,"OK","COLLISION")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customFormat="false" ht="26.85" hidden="false" customHeight="false" outlineLevel="0" collapsed="false">
      <c r="A4" s="10" t="s">
        <v>46</v>
      </c>
      <c r="B4" s="10" t="s">
        <v>47</v>
      </c>
      <c r="C4" s="10" t="n">
        <v>1</v>
      </c>
      <c r="D4" s="10" t="s">
        <v>48</v>
      </c>
      <c r="E4" s="10" t="s">
        <v>49</v>
      </c>
      <c r="F4" s="10" t="s">
        <v>50</v>
      </c>
    </row>
    <row r="5" customFormat="false" ht="26.85" hidden="false" customHeight="false" outlineLevel="0" collapsed="false">
      <c r="A5" s="10" t="s">
        <v>46</v>
      </c>
      <c r="B5" s="10" t="s">
        <v>51</v>
      </c>
      <c r="C5" s="10" t="n">
        <v>4</v>
      </c>
      <c r="D5" s="10" t="s">
        <v>48</v>
      </c>
      <c r="E5" s="10" t="s">
        <v>52</v>
      </c>
      <c r="F5" s="10" t="s">
        <v>53</v>
      </c>
    </row>
    <row r="6" customFormat="false" ht="26.85" hidden="false" customHeight="false" outlineLevel="0" collapsed="false">
      <c r="A6" s="10" t="s">
        <v>46</v>
      </c>
      <c r="B6" s="10" t="s">
        <v>54</v>
      </c>
      <c r="C6" s="10" t="n">
        <v>4</v>
      </c>
      <c r="D6" s="10" t="s">
        <v>48</v>
      </c>
      <c r="E6" s="10" t="s">
        <v>55</v>
      </c>
      <c r="F6" s="10" t="s">
        <v>56</v>
      </c>
    </row>
    <row r="7" customFormat="false" ht="26.85" hidden="false" customHeight="false" outlineLevel="0" collapsed="false">
      <c r="A7" s="10" t="s">
        <v>46</v>
      </c>
      <c r="B7" s="10" t="s">
        <v>57</v>
      </c>
      <c r="C7" s="10" t="n">
        <v>4</v>
      </c>
      <c r="D7" s="10" t="s">
        <v>48</v>
      </c>
      <c r="E7" s="10" t="s">
        <v>58</v>
      </c>
      <c r="F7" s="10" t="s">
        <v>59</v>
      </c>
    </row>
    <row r="8" customFormat="false" ht="26.85" hidden="false" customHeight="false" outlineLevel="0" collapsed="false">
      <c r="A8" s="10" t="s">
        <v>46</v>
      </c>
      <c r="B8" s="10" t="s">
        <v>60</v>
      </c>
      <c r="C8" s="10" t="n">
        <v>1</v>
      </c>
      <c r="D8" s="10" t="s">
        <v>48</v>
      </c>
      <c r="E8" s="10" t="s">
        <v>49</v>
      </c>
      <c r="F8" s="10" t="s">
        <v>61</v>
      </c>
    </row>
    <row r="9" customFormat="false" ht="26.85" hidden="false" customHeight="false" outlineLevel="0" collapsed="false">
      <c r="A9" s="10" t="s">
        <v>46</v>
      </c>
      <c r="B9" s="10" t="s">
        <v>62</v>
      </c>
      <c r="C9" s="10" t="n">
        <v>1</v>
      </c>
      <c r="D9" s="10" t="s">
        <v>48</v>
      </c>
      <c r="E9" s="10" t="s">
        <v>49</v>
      </c>
      <c r="F9" s="10" t="s">
        <v>63</v>
      </c>
    </row>
    <row r="10" customFormat="false" ht="26.85" hidden="false" customHeight="false" outlineLevel="0" collapsed="false">
      <c r="A10" s="10" t="s">
        <v>64</v>
      </c>
      <c r="B10" s="10" t="s">
        <v>65</v>
      </c>
      <c r="C10" s="10" t="n">
        <v>1</v>
      </c>
      <c r="D10" s="10" t="s">
        <v>48</v>
      </c>
      <c r="E10" s="10" t="s">
        <v>66</v>
      </c>
      <c r="F10" s="10" t="s">
        <v>67</v>
      </c>
    </row>
    <row r="11" customFormat="false" ht="26.85" hidden="false" customHeight="false" outlineLevel="0" collapsed="false">
      <c r="A11" s="10" t="s">
        <v>64</v>
      </c>
      <c r="B11" s="10" t="s">
        <v>68</v>
      </c>
      <c r="C11" s="10" t="n">
        <v>1</v>
      </c>
      <c r="D11" s="10" t="s">
        <v>48</v>
      </c>
      <c r="E11" s="10" t="s">
        <v>69</v>
      </c>
      <c r="F11" s="10" t="s">
        <v>70</v>
      </c>
    </row>
    <row r="12" customFormat="false" ht="26.85" hidden="false" customHeight="false" outlineLevel="0" collapsed="false">
      <c r="A12" s="10" t="s">
        <v>64</v>
      </c>
      <c r="B12" s="10" t="s">
        <v>71</v>
      </c>
      <c r="C12" s="10" t="n">
        <v>1</v>
      </c>
      <c r="D12" s="10" t="s">
        <v>48</v>
      </c>
      <c r="E12" s="10" t="s">
        <v>72</v>
      </c>
      <c r="F12" s="10" t="s">
        <v>73</v>
      </c>
    </row>
    <row r="13" customFormat="false" ht="26.85" hidden="false" customHeight="false" outlineLevel="0" collapsed="false">
      <c r="A13" s="10" t="s">
        <v>64</v>
      </c>
      <c r="B13" s="10" t="s">
        <v>74</v>
      </c>
      <c r="C13" s="10" t="n">
        <v>1</v>
      </c>
      <c r="D13" s="10" t="s">
        <v>48</v>
      </c>
      <c r="E13" s="10" t="s">
        <v>75</v>
      </c>
      <c r="F13" s="10" t="s">
        <v>76</v>
      </c>
    </row>
    <row r="14" customFormat="false" ht="26.85" hidden="false" customHeight="false" outlineLevel="0" collapsed="false">
      <c r="A14" s="10" t="s">
        <v>77</v>
      </c>
      <c r="B14" s="10" t="s">
        <v>78</v>
      </c>
      <c r="C14" s="10" t="n">
        <v>1</v>
      </c>
      <c r="D14" s="10" t="s">
        <v>48</v>
      </c>
      <c r="E14" s="10" t="s">
        <v>79</v>
      </c>
      <c r="F14" s="10" t="s">
        <v>80</v>
      </c>
    </row>
    <row r="15" customFormat="false" ht="26.85" hidden="false" customHeight="false" outlineLevel="0" collapsed="false">
      <c r="A15" s="10" t="s">
        <v>77</v>
      </c>
      <c r="B15" s="10" t="s">
        <v>81</v>
      </c>
      <c r="C15" s="10" t="n">
        <v>1</v>
      </c>
      <c r="D15" s="10" t="s">
        <v>48</v>
      </c>
      <c r="E15" s="10" t="s">
        <v>82</v>
      </c>
      <c r="F15" s="10" t="s">
        <v>83</v>
      </c>
    </row>
    <row r="16" customFormat="false" ht="26.85" hidden="false" customHeight="false" outlineLevel="0" collapsed="false">
      <c r="A16" s="10" t="s">
        <v>77</v>
      </c>
      <c r="B16" s="10" t="s">
        <v>84</v>
      </c>
      <c r="C16" s="10" t="n">
        <v>1</v>
      </c>
      <c r="D16" s="10" t="s">
        <v>48</v>
      </c>
      <c r="E16" s="10" t="s">
        <v>82</v>
      </c>
      <c r="F16" s="10" t="s">
        <v>85</v>
      </c>
    </row>
    <row r="17" customFormat="false" ht="26.85" hidden="false" customHeight="false" outlineLevel="0" collapsed="false">
      <c r="A17" s="10" t="s">
        <v>86</v>
      </c>
      <c r="B17" s="10" t="s">
        <v>87</v>
      </c>
      <c r="C17" s="10" t="s">
        <v>24</v>
      </c>
      <c r="D17" s="10" t="s">
        <v>24</v>
      </c>
      <c r="E17" s="10" t="s">
        <v>49</v>
      </c>
      <c r="F17" s="10" t="s">
        <v>88</v>
      </c>
    </row>
    <row r="18" customFormat="false" ht="15" hidden="false" customHeight="false" outlineLevel="0" collapsed="false">
      <c r="A18" s="10" t="s">
        <v>89</v>
      </c>
      <c r="B18" s="10" t="s">
        <v>90</v>
      </c>
      <c r="C18" s="10" t="s">
        <v>24</v>
      </c>
      <c r="D18" s="10" t="s">
        <v>24</v>
      </c>
      <c r="E18" s="10" t="s">
        <v>24</v>
      </c>
      <c r="F18" s="10" t="s">
        <v>91</v>
      </c>
    </row>
    <row r="19" customFormat="false" ht="15" hidden="false" customHeight="false" outlineLevel="0" collapsed="false">
      <c r="B19" s="9" t="s">
        <v>92</v>
      </c>
      <c r="C19" s="9" t="n">
        <f aca="false">SUM(C4:C18)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95</v>
      </c>
      <c r="B4" s="5" t="s">
        <v>42</v>
      </c>
      <c r="C4" s="5" t="s">
        <v>96</v>
      </c>
    </row>
    <row r="5" customFormat="false" ht="15" hidden="false" customHeight="false" outlineLevel="0" collapsed="false">
      <c r="A5" s="6" t="s">
        <v>97</v>
      </c>
      <c r="B5" s="11" t="n">
        <v>2</v>
      </c>
      <c r="C5" s="6" t="s">
        <v>98</v>
      </c>
    </row>
    <row r="6" customFormat="false" ht="15" hidden="false" customHeight="false" outlineLevel="0" collapsed="false">
      <c r="A6" s="6" t="s">
        <v>99</v>
      </c>
      <c r="B6" s="11" t="n">
        <v>4</v>
      </c>
      <c r="C6" s="6" t="s">
        <v>100</v>
      </c>
    </row>
    <row r="7" customFormat="false" ht="15" hidden="false" customHeight="false" outlineLevel="0" collapsed="false">
      <c r="A7" s="6" t="s">
        <v>101</v>
      </c>
      <c r="B7" s="11" t="n">
        <v>1</v>
      </c>
      <c r="C7" s="6" t="s">
        <v>102</v>
      </c>
    </row>
    <row r="8" customFormat="false" ht="15" hidden="false" customHeight="false" outlineLevel="0" collapsed="false">
      <c r="A8" s="6" t="s">
        <v>103</v>
      </c>
      <c r="B8" s="11" t="n">
        <v>1</v>
      </c>
      <c r="C8" s="6" t="s">
        <v>104</v>
      </c>
    </row>
    <row r="9" customFormat="false" ht="15" hidden="false" customHeight="false" outlineLevel="0" collapsed="false">
      <c r="A9" s="6" t="s">
        <v>105</v>
      </c>
      <c r="B9" s="11" t="n">
        <v>12</v>
      </c>
      <c r="C9" s="6" t="s">
        <v>106</v>
      </c>
    </row>
    <row r="10" customFormat="false" ht="15" hidden="false" customHeight="false" outlineLevel="0" collapsed="false">
      <c r="A10" s="6" t="s">
        <v>107</v>
      </c>
      <c r="B10" s="11" t="n">
        <v>2</v>
      </c>
      <c r="C10" s="6" t="s">
        <v>108</v>
      </c>
    </row>
    <row r="11" customFormat="false" ht="15" hidden="false" customHeight="false" outlineLevel="0" collapsed="false">
      <c r="A11" s="6" t="s">
        <v>109</v>
      </c>
      <c r="B11" s="11" t="n">
        <v>7</v>
      </c>
      <c r="C11" s="6" t="s">
        <v>110</v>
      </c>
    </row>
    <row r="12" customFormat="false" ht="15" hidden="false" customHeight="false" outlineLevel="0" collapsed="false">
      <c r="A12" s="6" t="s">
        <v>111</v>
      </c>
      <c r="B12" s="11" t="n">
        <v>1</v>
      </c>
      <c r="C12" s="6" t="s">
        <v>112</v>
      </c>
    </row>
    <row r="13" customFormat="false" ht="15" hidden="false" customHeight="false" outlineLevel="0" collapsed="false">
      <c r="A13" s="6" t="s">
        <v>113</v>
      </c>
      <c r="B13" s="11" t="n">
        <v>1</v>
      </c>
      <c r="C13" s="6" t="s">
        <v>114</v>
      </c>
    </row>
    <row r="14" customFormat="false" ht="15" hidden="false" customHeight="false" outlineLevel="0" collapsed="false">
      <c r="A14" s="6" t="s">
        <v>115</v>
      </c>
      <c r="B14" s="11" t="n">
        <v>1</v>
      </c>
      <c r="C14" s="6" t="s">
        <v>116</v>
      </c>
    </row>
    <row r="16" customFormat="false" ht="15" hidden="false" customHeight="false" outlineLevel="0" collapsed="false">
      <c r="A16" s="9" t="s">
        <v>117</v>
      </c>
    </row>
    <row r="17" customFormat="false" ht="15" hidden="false" customHeight="false" outlineLevel="0" collapsed="false">
      <c r="A17" s="3" t="s">
        <v>118</v>
      </c>
    </row>
    <row r="18" customFormat="false" ht="15" hidden="false" customHeight="false" outlineLevel="0" collapsed="false">
      <c r="A18" s="3" t="s">
        <v>119</v>
      </c>
    </row>
    <row r="19" customFormat="false" ht="15" hidden="false" customHeight="false" outlineLevel="0" collapsed="false">
      <c r="A19" s="3" t="s">
        <v>120</v>
      </c>
    </row>
    <row r="20" customFormat="false" ht="15" hidden="false" customHeight="false" outlineLevel="0" collapsed="false">
      <c r="A20" s="3" t="s">
        <v>121</v>
      </c>
    </row>
    <row r="21" customFormat="false" ht="15" hidden="false" customHeight="false" outlineLevel="0" collapsed="false">
      <c r="A21" s="3" t="s">
        <v>122</v>
      </c>
    </row>
    <row r="22" customFormat="false" ht="15" hidden="false" customHeight="false" outlineLevel="0" collapsed="false">
      <c r="A22" s="3" t="s">
        <v>123</v>
      </c>
    </row>
    <row r="23" customFormat="false" ht="15" hidden="false" customHeight="false" outlineLevel="0" collapsed="false">
      <c r="A23" s="3" t="s">
        <v>124</v>
      </c>
    </row>
    <row r="25" customFormat="false" ht="15" hidden="false" customHeight="false" outlineLevel="0" collapsed="false">
      <c r="A25" s="1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5" t="s">
        <v>126</v>
      </c>
      <c r="B3" s="5" t="s">
        <v>127</v>
      </c>
    </row>
    <row r="4" customFormat="false" ht="39.55" hidden="false" customHeight="false" outlineLevel="0" collapsed="false">
      <c r="A4" s="13" t="s">
        <v>128</v>
      </c>
      <c r="B4" s="10" t="s">
        <v>129</v>
      </c>
    </row>
    <row r="5" customFormat="false" ht="26.85" hidden="false" customHeight="false" outlineLevel="0" collapsed="false">
      <c r="A5" s="13" t="s">
        <v>130</v>
      </c>
      <c r="B5" s="10" t="s">
        <v>131</v>
      </c>
    </row>
    <row r="6" customFormat="false" ht="15" hidden="false" customHeight="false" outlineLevel="0" collapsed="false">
      <c r="A6" s="13" t="s">
        <v>132</v>
      </c>
      <c r="B6" s="10" t="s">
        <v>133</v>
      </c>
    </row>
    <row r="7" customFormat="false" ht="15" hidden="false" customHeight="false" outlineLevel="0" collapsed="false">
      <c r="A7" s="13" t="s">
        <v>134</v>
      </c>
      <c r="B7" s="10" t="s">
        <v>135</v>
      </c>
    </row>
    <row r="8" customFormat="false" ht="26.85" hidden="false" customHeight="false" outlineLevel="0" collapsed="false">
      <c r="A8" s="13" t="s">
        <v>136</v>
      </c>
      <c r="B8" s="10" t="s">
        <v>137</v>
      </c>
    </row>
    <row r="9" customFormat="false" ht="15" hidden="false" customHeight="false" outlineLevel="0" collapsed="false">
      <c r="A9" s="13" t="s">
        <v>138</v>
      </c>
      <c r="B9" s="10" t="s">
        <v>139</v>
      </c>
    </row>
    <row r="10" customFormat="false" ht="26.85" hidden="false" customHeight="false" outlineLevel="0" collapsed="false">
      <c r="A10" s="13" t="s">
        <v>140</v>
      </c>
      <c r="B10" s="10" t="s">
        <v>141</v>
      </c>
    </row>
    <row r="11" customFormat="false" ht="15" hidden="false" customHeight="false" outlineLevel="0" collapsed="false">
      <c r="A11" s="13" t="s">
        <v>142</v>
      </c>
      <c r="B11" s="10" t="s">
        <v>143</v>
      </c>
    </row>
    <row r="12" customFormat="false" ht="15" hidden="false" customHeight="false" outlineLevel="0" collapsed="false">
      <c r="A12" s="13" t="s">
        <v>144</v>
      </c>
      <c r="B12" s="1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2026-10-08T07:42:23Z</dcterms:created>
  <dc:creator>openpyxl</dc:creator>
  <dc:description/>
  <dc:language>en-US</dc:language>
  <cp:lastModifiedBy/>
  <dcterms:modified xsi:type="dcterms:W3CDTF">2026-10-08T07:42:23Z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